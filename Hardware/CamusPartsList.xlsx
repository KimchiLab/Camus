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GitHub\Camus\Hardware\"/>
    </mc:Choice>
  </mc:AlternateContent>
  <xr:revisionPtr revIDLastSave="0" documentId="13_ncr:1_{F18C71E5-2C0F-4276-9FEA-4F74F6CB383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amera Parts" sheetId="1" r:id="rId1"/>
    <sheet name="3dPrinted Parts" sheetId="5" r:id="rId2"/>
    <sheet name="Computer Parts" sheetId="2" r:id="rId3"/>
    <sheet name="Animal Facility Parts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F13" i="1"/>
  <c r="F11" i="2"/>
  <c r="F3" i="2"/>
  <c r="F4" i="2"/>
  <c r="F5" i="2"/>
  <c r="F6" i="2"/>
  <c r="F7" i="2"/>
  <c r="F8" i="2"/>
  <c r="F9" i="2"/>
  <c r="F10" i="2"/>
  <c r="F2" i="2"/>
  <c r="E11" i="1"/>
  <c r="F12" i="1"/>
  <c r="J16" i="1" l="1"/>
  <c r="C14" i="5" l="1"/>
  <c r="D14" i="5"/>
  <c r="C11" i="1"/>
  <c r="F11" i="1" s="1"/>
  <c r="C3" i="1"/>
  <c r="F3" i="1" s="1"/>
  <c r="C4" i="1"/>
  <c r="F4" i="1" s="1"/>
  <c r="C5" i="1"/>
  <c r="F5" i="1" s="1"/>
  <c r="C6" i="1"/>
  <c r="C7" i="1"/>
  <c r="F7" i="1" s="1"/>
  <c r="C8" i="1"/>
  <c r="F8" i="1" s="1"/>
  <c r="C9" i="1"/>
  <c r="F9" i="1" s="1"/>
  <c r="C10" i="1"/>
  <c r="F10" i="1" s="1"/>
  <c r="C2" i="1"/>
  <c r="F2" i="1" s="1"/>
  <c r="F14" i="1" l="1"/>
</calcChain>
</file>

<file path=xl/sharedStrings.xml><?xml version="1.0" encoding="utf-8"?>
<sst xmlns="http://schemas.openxmlformats.org/spreadsheetml/2006/main" count="145" uniqueCount="124">
  <si>
    <t>Part Information</t>
  </si>
  <si>
    <t>Needed Per Camera</t>
  </si>
  <si>
    <t>Notes</t>
  </si>
  <si>
    <t>Unit Price</t>
  </si>
  <si>
    <t>Manufacturer</t>
  </si>
  <si>
    <t>Web</t>
  </si>
  <si>
    <t>ELP</t>
  </si>
  <si>
    <t>http://www.webcamerausb.com/2mp-1080p-usb-camera-c-42/?page=5</t>
  </si>
  <si>
    <t>USB Cable for the camera</t>
  </si>
  <si>
    <t>https://www.aliexpress.us/item/3256805417099241.html?gatewayAdapt=glo2usa</t>
  </si>
  <si>
    <t>USB extension cable</t>
  </si>
  <si>
    <t>Tripp Lite</t>
  </si>
  <si>
    <t>https://www.amazon.com/Tripp-Lite-Hi-Speed-Extension-U026-016/dp/B0002D6QJO?th=1</t>
  </si>
  <si>
    <t>Spinel</t>
  </si>
  <si>
    <t>JST cables</t>
  </si>
  <si>
    <t>Sheep Famile House Store</t>
  </si>
  <si>
    <t>https://www.aliexpress.us/item/3256806092078340.html</t>
  </si>
  <si>
    <t>Metal bars</t>
  </si>
  <si>
    <t>Cut with saw to fit length of hopper</t>
  </si>
  <si>
    <t>Grainger</t>
  </si>
  <si>
    <t>https://www.grainger.com/product/GRAINGER-APPROVED-Stainless-Steel-Rod-303-3-796DH6</t>
  </si>
  <si>
    <t>Screw: 3/16" screws (8)</t>
  </si>
  <si>
    <t>Price includes 100 screws</t>
  </si>
  <si>
    <t>https://www.grainger.com/product/GRAINGER-APPROVED-Machine-Screw-2-56-Thread-1ZB22</t>
  </si>
  <si>
    <t>Screw: 1 1/8" screws (4)</t>
  </si>
  <si>
    <t>https://www.grainger.com/product/Machine-Screw-2-56-Thread-1ZB21</t>
  </si>
  <si>
    <t>in meters</t>
  </si>
  <si>
    <t>Stucco Tape</t>
  </si>
  <si>
    <t>3M</t>
  </si>
  <si>
    <t>https://www.homedepot.com/p/3M-1-88-in-x-60-yds-48-mm-x-54-8-m-Stucco-Tape-3262/309077649?source=shoppingads&amp;locale=en-US&amp;pla&amp;utm_source=google&amp;utm_medium=vantage&amp;utm_campaign=23574&amp;utm_content=25228&amp;mtc=SHOPPING-RM-RMP-GGL-D24-Multi-MB-3M-NA-PMAX-NA-NA-MK861609001-23574-NBR-669-NA-VNT-FY24&amp;cm_mmc=SHOPPING-RM-RMP-GGL-D24-Multi-MB-3M-NA-PMAX-NA-NA-MK861609001-23574-NBR-669-NA-VNT-FY24-71700000117265046--&amp;gad_source=1&amp;gclid=CjwKCAiA2pyuBhBKEiwApLaIO2Qa4YrO-y-fkWMEjTKtD1AqaNBcLEOKNbvcSEo6RB86D3v5EpXWBBoCm-YQAvD_BwE&amp;gclsrc=aw.ds</t>
  </si>
  <si>
    <t>TOTAL Camera cost</t>
  </si>
  <si>
    <t>3d Printer Part</t>
  </si>
  <si>
    <t>Quantitiy for 1 cage</t>
  </si>
  <si>
    <t>Estimated Time to Print (min)</t>
  </si>
  <si>
    <t>Estimated amount of filament (meters)</t>
  </si>
  <si>
    <t>Hopper Cap &amp; Hopper</t>
  </si>
  <si>
    <t>Water Bottle Holder</t>
  </si>
  <si>
    <t>Water Bottle Holder Cap</t>
  </si>
  <si>
    <t>Camera Holder &amp; Cover</t>
  </si>
  <si>
    <t>Photosensor Caps</t>
  </si>
  <si>
    <t>IR LED Caps</t>
  </si>
  <si>
    <t>Cage Cover Insert</t>
  </si>
  <si>
    <t>Cable Covers</t>
  </si>
  <si>
    <t>Cable Rings</t>
  </si>
  <si>
    <t>Total:</t>
  </si>
  <si>
    <t>Item</t>
  </si>
  <si>
    <t>Vendor</t>
  </si>
  <si>
    <t>VendorPart</t>
  </si>
  <si>
    <t>Quantity</t>
  </si>
  <si>
    <t>Total Price</t>
  </si>
  <si>
    <t>MfgPart</t>
  </si>
  <si>
    <t>RAIJINTEK THETIS Silver Classic, Alu. ATX PC Case, Supports Max. 280mm Length VGA Card, 170mm Height CPU Coolers, 4X HDDs,240mm Radiator on top, 1x 12025 LED Fan pre-Installed, 2X USB3.0, 7X PCI Slot</t>
  </si>
  <si>
    <t>Amazon</t>
  </si>
  <si>
    <t>B01MQS5IWM</t>
  </si>
  <si>
    <t>RAIJINTEK</t>
  </si>
  <si>
    <t>THETIS Classic</t>
  </si>
  <si>
    <t>https://www.amazon.com/RAIJINTEK-Classic-Supports-Radiator-pre-Installed/dp/B01MQS5IWM/ref=sr_1_2</t>
  </si>
  <si>
    <t>Corsair RM Series, RM750, 750 Watt, 80+ Gold Certified, Fully Modular Power Supply, Microsoft Modern Standby</t>
  </si>
  <si>
    <t>B07RF237B1</t>
  </si>
  <si>
    <t>Corsair</t>
  </si>
  <si>
    <t>‎CP-9020195-NA</t>
  </si>
  <si>
    <t>https://www.amazon.com/CORSAIR-Certified-Modular-Microsoft-Standby/dp/B07RF237B1</t>
  </si>
  <si>
    <t>ASUS Prime A620-PLUS WiFi Socket AM5 (LGA 1718) Ryzen 7000 Gaming Motherboard(DDR5,Dual M.2 Slots,DisplayPort/HDMI,Wi-Fi 5,Front USB 3.2 Gen 1 Type-C,Two-Way AI Noise Cancelation, Aura Sync) Heart 1</t>
  </si>
  <si>
    <t>B0CBQW2C41</t>
  </si>
  <si>
    <t>ASUS</t>
  </si>
  <si>
    <t>Prime A620-PLUS WiFi</t>
  </si>
  <si>
    <t>https://www.amazon.com/ASUS-A620-PLUS-Motherboard-DisplayPort-Cancelation/dp/B0CBQW2C41/ref=sr_1_1</t>
  </si>
  <si>
    <t>AMD Ryzen™ 9 7950X 16-Core, 32-Thread Unlocked Desktop Processor</t>
  </si>
  <si>
    <t>B0BBHD5D8Y</t>
  </si>
  <si>
    <t>https://www.amazon.com/AMD-Ryzen-5950X-32-Thread-Processor/dp/B0815Y8J9N/ref=sr_1_1?crid=26XPLRY08XRRA&amp;keywords=B0815Y8J9N&amp;qid=1705352004&amp;sprefix=b0815y8j9n%2Caps%2C68&amp;sr=8-1</t>
  </si>
  <si>
    <t>CORSAIR VENGEANCE DDR5 RAM 32GB (2x16GB) 4800MHz CL40 Intel XMP iCUE Compatible Computer Memory - Black (CMK32GX5M2A4800C40)</t>
  </si>
  <si>
    <t>B09MTS5YH1</t>
  </si>
  <si>
    <t>https://www.amazon.com/CORSAIR-VENGEANCE-4800MHz-Compatible-Computer/dp/B09MTS5YH1/ref=sr_1_1?crid=2G1REI024FAW6&amp;dib=eyJ2IjoiMSJ9.zb-cTMfe41bDyqVPoJ1GLnuL74_Lntijmu7eKfqjE6bgDqoCuwKfM7UPSz5DIVsheEKYmZwtdS_Hzhn5kb2YTBbt-L9ez8IKh3LQoXcaUIqTTpsKz167ttg5DtLTy2CTOBe2sv-u-Wbf373K8rxX4CHtWMSPk2KlDduR0XxkWSdpK-lp1vl9ZdnbvXD-FOzd-d4rHYEy_Su3baRXgUQw4_y29vEr7BaFNYdRdq92Hbo.GfX9v9l_SG0j04dKsnGoKQhOsBl06VIBGVM175tjufA&amp;dib_tag=se&amp;keywords=Corsair+Vengeance+32+GB+%282+x+16+GB%29+DDR5-4800+CL40+Memory&amp;qid=1705360391&amp;s=electronics&amp;sprefix=corsair+vengeance+32+gb+2+x+16+gb+ddr5-4800+cl40+memory%2Celectronics%2C108&amp;sr=1-1</t>
  </si>
  <si>
    <t>WD_BLACK SN850X NVMe SSD WDS400T2X0E - SSD - 4 TB - PCIe 4.0 x4 (NVMe)</t>
  </si>
  <si>
    <t>CDWG</t>
  </si>
  <si>
    <t>WD</t>
  </si>
  <si>
    <t>WDS400T2X0E</t>
  </si>
  <si>
    <t>https://www.cdwg.com/product/wd-black-sn850x-nvme-ssd-wds400t2x0e-ssd-4-tb-pcie-4.0-x4-nvme/7134252?pfm=srh</t>
  </si>
  <si>
    <t>MHQJRH M.2 2280 SSD heatsink, Double-Sided Heat Sink, with Thermal Silicone pad for PC / PS5 M.2 PCIE NVMe SSD or M.2 SATA SSD</t>
  </si>
  <si>
    <t>B07KDDKDNN</t>
  </si>
  <si>
    <t>https://www.amazon.com/heatsink-double-sided-matching-thermal-silicone/dp/B07KDDKDNN?dchild=1&amp;keywords=ELUTENG+M.2+SSD+Heatsink&amp;qid=1628076796&amp;sr=8-3&amp;linkCode=sl1&amp;tag=spawnpoiint-20&amp;linkId=a5a8c254c2af25e07ec16499bc630b5b&amp;language=en_US&amp;ref_=as_li_ss_tl</t>
  </si>
  <si>
    <t>StarTech.com 4 Port USB 3.0 PCIe Card w/ 4 Dedicated Channels - UASP 5Gbps</t>
  </si>
  <si>
    <t>StarTech</t>
  </si>
  <si>
    <t>PEXUSB3S44V</t>
  </si>
  <si>
    <t>https://www.cdwg.com/product/startech.com-4-port-usb-3.0-pcie-card-w-4-dedicated-channels-uasp/3255376?enkwrd=PEXUSB3S44V</t>
  </si>
  <si>
    <t>Description</t>
  </si>
  <si>
    <t>Rack- Allentown NexGen IVC system rack</t>
  </si>
  <si>
    <t>Allentown</t>
  </si>
  <si>
    <t>Micro barrier top</t>
  </si>
  <si>
    <t>Bedding (Aspen Sani Chips)</t>
  </si>
  <si>
    <t>Nepco</t>
  </si>
  <si>
    <t>Nestlet (NES360)</t>
  </si>
  <si>
    <t>Compacted cotton fiber nesting material</t>
  </si>
  <si>
    <t>Gusmer Enterprises</t>
  </si>
  <si>
    <t>Animal Feed</t>
  </si>
  <si>
    <t>Teklad LM-485 Mouse/Rat sterilizable diet</t>
  </si>
  <si>
    <t>Teklad</t>
  </si>
  <si>
    <t>Plastic igloo (K3327Mouse Igloo, Red</t>
  </si>
  <si>
    <t>Red Igloo for mice</t>
  </si>
  <si>
    <t>Bio-serv</t>
  </si>
  <si>
    <t>Safe Harbor (K3583 Safe Harbor mouse retreat)</t>
  </si>
  <si>
    <t>Red safe harbor for mice</t>
  </si>
  <si>
    <t>Blower - Ecoflo blower: Allentown</t>
  </si>
  <si>
    <t>Printer Filament (meters)</t>
  </si>
  <si>
    <t>For 20</t>
  </si>
  <si>
    <t>Cost Per Group</t>
  </si>
  <si>
    <t>Need 1.5 for each, Come with camera</t>
  </si>
  <si>
    <t>Thermalright Phantom Spirit 120 SE Black CPU Cooler,Dual TL-C12B V2 PWM Fans and Double Towers, 7 Heat Pipes Heatsink Cooler,for AM4/AM5&amp;Intel LGA1851/1700/115X/1200, Computer CPU Cooling,Black</t>
  </si>
  <si>
    <t>B0D93R3YY9</t>
  </si>
  <si>
    <t>ThermalRight</t>
  </si>
  <si>
    <t>PS120SE BLACK</t>
  </si>
  <si>
    <t>https://www.amazon.com/dp/B0D93R3YY9</t>
  </si>
  <si>
    <t>Computer costs (for 20)</t>
  </si>
  <si>
    <t>See Computer Parts sheet</t>
  </si>
  <si>
    <t>Camera: ELP-USBFHD05MT-RH120</t>
  </si>
  <si>
    <t>Allentown Nexgen 500 Mouse cage (Standard cage)</t>
  </si>
  <si>
    <t>Used at Northwestern, but not in Camus:</t>
  </si>
  <si>
    <t>Heat treated coarse bedding</t>
  </si>
  <si>
    <t>https://www.spinelelectronics.com/product/irxs10-30/</t>
  </si>
  <si>
    <t>LED Panels (IRXS10-120)</t>
  </si>
  <si>
    <t>120 degree panels for diffuse light</t>
  </si>
  <si>
    <t>Alternative</t>
  </si>
  <si>
    <t>https://www.aliexpress.us/item/3256802367372956.html</t>
  </si>
  <si>
    <t>Water Bottle: 80ml Hamster Small Pets Water Drinking Bottle Plastic Hangable Water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</si>
</sst>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</font>
    <font>
      <u/>
      <sz val="10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4DD0E1"/>
        <bgColor rgb="FF4DD0E1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8" fontId="0" fillId="0" borderId="0" xfId="0" applyNumberFormat="1"/>
    <xf numFmtId="0" fontId="0" fillId="0" borderId="0" xfId="0" applyAlignment="1">
      <alignment wrapText="1"/>
    </xf>
    <xf numFmtId="0" fontId="3" fillId="0" borderId="0" xfId="0" applyFont="1"/>
    <xf numFmtId="0" fontId="5" fillId="3" borderId="0" xfId="0" applyFont="1" applyFill="1"/>
    <xf numFmtId="0" fontId="4" fillId="0" borderId="0" xfId="1"/>
    <xf numFmtId="0" fontId="0" fillId="4" borderId="1" xfId="0" applyFill="1" applyBorder="1"/>
    <xf numFmtId="0" fontId="0" fillId="0" borderId="1" xfId="0" applyBorder="1"/>
    <xf numFmtId="8" fontId="0" fillId="0" borderId="0" xfId="0" applyNumberFormat="1" applyAlignment="1">
      <alignment wrapText="1"/>
    </xf>
    <xf numFmtId="0" fontId="6" fillId="0" borderId="3" xfId="1" applyFont="1" applyBorder="1" applyAlignment="1">
      <alignment horizontal="left" vertical="top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/>
    <xf numFmtId="0" fontId="7" fillId="0" borderId="4" xfId="0" applyFont="1" applyBorder="1"/>
  </cellXfs>
  <cellStyles count="2">
    <cellStyle name="Hyperlink" xfId="1" builtinId="8"/>
    <cellStyle name="Normal" xfId="0" builtinId="0"/>
  </cellStyles>
  <dxfs count="12"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CDBECA-BB70-4F8A-B408-286292B176F8}" name="Table1" displayName="Table1" ref="A1:I14" totalsRowCount="1">
  <autoFilter ref="A1:I13" xr:uid="{4FCDBECA-BB70-4F8A-B408-286292B176F8}"/>
  <tableColumns count="9">
    <tableColumn id="1" xr3:uid="{64E49A4F-C7A7-4AE5-9408-D9C05E739EFD}" name="Part Information"/>
    <tableColumn id="2" xr3:uid="{9B1B88E6-16D8-4916-A709-828E2747D1CE}" name="Needed Per Camera"/>
    <tableColumn id="3" xr3:uid="{F2EE8D8E-CF26-42CD-99C1-FBD8A76E050B}" name="For 20">
      <calculatedColumnFormula>B2*VALUE(MID(C$1,FIND(" ", C$1)+1,LEN(C$1)))</calculatedColumnFormula>
    </tableColumn>
    <tableColumn id="6" xr3:uid="{E8EA3667-FBA7-4F2E-A029-FA66A8D4C389}" name="Notes"/>
    <tableColumn id="4" xr3:uid="{29D3C3F1-CBD5-489B-A530-24A1E4CD2B81}" name="Unit Price" totalsRowDxfId="1"/>
    <tableColumn id="8" xr3:uid="{540E9AD7-21D2-4F04-B824-BDD779A531B5}" name="Cost Per Group" totalsRowFunction="custom" dataDxfId="2" totalsRowDxfId="0">
      <calculatedColumnFormula>Table1[[#This Row],[Unit Price]]*Table1[[#This Row],[For 20]]</calculatedColumnFormula>
      <totalsRowFormula>SUM(Table1[Cost Per Group])/20</totalsRowFormula>
    </tableColumn>
    <tableColumn id="5" xr3:uid="{F420ECF1-2394-4526-B44D-B7DF38BF083D}" name="Manufacturer"/>
    <tableColumn id="7" xr3:uid="{57EA8E63-9B5B-409D-A84A-8490F9A72806}" name="Web"/>
    <tableColumn id="9" xr3:uid="{F630DF5D-9A19-4F4A-A0A0-93F25A99945E}" name="Alterna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CC6DB0-C1D8-4EE0-8B89-029B04A0E5E0}" name="Table2" displayName="Table2" ref="A1:C7" totalsRowShown="0" headerRowDxfId="11" dataDxfId="10">
  <autoFilter ref="A1:C7" xr:uid="{4CCC6DB0-C1D8-4EE0-8B89-029B04A0E5E0}"/>
  <tableColumns count="3">
    <tableColumn id="1" xr3:uid="{07202DEB-381B-4837-A166-457413B9CED1}" name="Part Information" dataDxfId="9"/>
    <tableColumn id="2" xr3:uid="{88D348F3-C925-4212-87C2-6D1A4ACE6311}" name="Description" dataDxfId="8"/>
    <tableColumn id="3" xr3:uid="{9F1D056B-1F1D-4414-9FEC-7D4CFCBF0D82}" name="Manufacturer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6F0958-639E-44BA-A6D8-7554B70D3437}" name="Table4" displayName="Table4" ref="A9:C11" totalsRowShown="0" dataDxfId="6">
  <autoFilter ref="A9:C11" xr:uid="{0E6F0958-639E-44BA-A6D8-7554B70D3437}"/>
  <tableColumns count="3">
    <tableColumn id="1" xr3:uid="{C28F40B3-2C05-4750-8F7F-E6EB5D09230F}" name="Used at Northwestern, but not in Camus:" dataDxfId="5"/>
    <tableColumn id="2" xr3:uid="{59CA4793-F951-49B9-A91B-12DAC759756C}" name="Description" dataDxfId="4"/>
    <tableColumn id="3" xr3:uid="{36886E02-C79F-42FA-8C4D-C5B8CED14BCF}" name="Manufacturer" dataDxfId="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dwg.com/product/startech.com-4-port-usb-3.0-pcie-card-w-4-dedicated-channels-uasp/3255376?enkwrd=PEXUSB3S44V" TargetMode="External"/><Relationship Id="rId3" Type="http://schemas.openxmlformats.org/officeDocument/2006/relationships/hyperlink" Target="https://www.amazon.com/ASUS-A620-PLUS-Motherboard-DisplayPort-Cancelation/dp/B0CBQW2C41/ref=sr_1_1" TargetMode="External"/><Relationship Id="rId7" Type="http://schemas.openxmlformats.org/officeDocument/2006/relationships/hyperlink" Target="https://www.amazon.com/heatsink-double-sided-matching-thermal-silicone/dp/B07KDDKDNN?dchild=1&amp;keywords=ELUTENG+M.2+SSD+Heatsink&amp;qid=1628076796&amp;sr=8-3&amp;linkCode=sl1&amp;tag=spawnpoiint-20&amp;linkId=a5a8c254c2af25e07ec16499bc630b5b&amp;language=en_US&amp;ref_=as_li_ss_tl" TargetMode="External"/><Relationship Id="rId2" Type="http://schemas.openxmlformats.org/officeDocument/2006/relationships/hyperlink" Target="https://www.amazon.com/CORSAIR-Certified-Modular-Microsoft-Standby/dp/B07RF237B1" TargetMode="External"/><Relationship Id="rId1" Type="http://schemas.openxmlformats.org/officeDocument/2006/relationships/hyperlink" Target="https://www.amazon.com/RAIJINTEK-Classic-Supports-Radiator-pre-Installed/dp/B01MQS5IWM/ref=sr_1_2" TargetMode="External"/><Relationship Id="rId6" Type="http://schemas.openxmlformats.org/officeDocument/2006/relationships/hyperlink" Target="https://www.cdwg.com/product/wd-black-sn850x-nvme-ssd-wds400t2x0e-ssd-4-tb-pcie-4.0-x4-nvme/7134252?pfm=srh" TargetMode="External"/><Relationship Id="rId5" Type="http://schemas.openxmlformats.org/officeDocument/2006/relationships/hyperlink" Target="https://www.amazon.com/CORSAIR-VENGEANCE-4800MHz-Compatible-Computer/dp/B09MTS5YH1/ref=sr_1_1?crid=2G1REI024FAW6&amp;dib=eyJ2IjoiMSJ9.zb-cTMfe41bDyqVPoJ1GLnuL74_Lntijmu7eKfqjE6bgDqoCuwKfM7UPSz5DIVsheEKYmZwtdS_Hzhn5kb2YTBbt-L9ez8IKh3LQoXcaUIqTTpsKz167ttg5DtLTy2CTOBe2sv-u-Wbf373K8rxX4CHtWMSPk2KlDduR0XxkWSdpK-lp1vl9ZdnbvXD-FOzd-d4rHYEy_Su3baRXgUQw4_y29vEr7BaFNYdRdq92Hbo.GfX9v9l_SG0j04dKsnGoKQhOsBl06VIBGVM175tjufA&amp;dib_tag=se&amp;keywords=Corsair+Vengeance+32+GB+%282+x+16+GB%29+DDR5-4800+CL40+Memory&amp;qid=1705360391&amp;s=electronics&amp;sprefix=corsair+vengeance+32+gb+2+x+16+gb+ddr5-4800+cl40+memory%2Celectronics%2C108&amp;sr=1-1" TargetMode="External"/><Relationship Id="rId4" Type="http://schemas.openxmlformats.org/officeDocument/2006/relationships/hyperlink" Target="https://www.amazon.com/AMD-Ryzen-5950X-32-Thread-Processor/dp/B0815Y8J9N/ref=sr_1_1?crid=26XPLRY08XRRA&amp;keywords=B0815Y8J9N&amp;qid=1705352004&amp;sprefix=b0815y8j9n%2Caps%2C68&amp;sr=8-1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zoomScale="145" zoomScaleNormal="145" workbookViewId="0">
      <selection activeCell="A7" sqref="A7"/>
    </sheetView>
  </sheetViews>
  <sheetFormatPr defaultRowHeight="15" x14ac:dyDescent="0.25"/>
  <cols>
    <col min="1" max="1" width="31.140625" bestFit="1" customWidth="1"/>
    <col min="2" max="2" width="21.42578125" bestFit="1" customWidth="1"/>
    <col min="3" max="3" width="9" bestFit="1" customWidth="1"/>
    <col min="4" max="4" width="22.28515625" customWidth="1"/>
    <col min="5" max="6" width="12.5703125" customWidth="1"/>
    <col min="7" max="7" width="15.7109375" customWidth="1"/>
    <col min="8" max="8" width="74.42578125" customWidth="1"/>
  </cols>
  <sheetData>
    <row r="1" spans="1:10" x14ac:dyDescent="0.25">
      <c r="A1" t="s">
        <v>0</v>
      </c>
      <c r="B1" t="s">
        <v>1</v>
      </c>
      <c r="C1" t="s">
        <v>104</v>
      </c>
      <c r="D1" t="s">
        <v>2</v>
      </c>
      <c r="E1" t="s">
        <v>3</v>
      </c>
      <c r="F1" t="s">
        <v>105</v>
      </c>
      <c r="G1" t="s">
        <v>4</v>
      </c>
      <c r="H1" t="s">
        <v>5</v>
      </c>
      <c r="I1" t="s">
        <v>121</v>
      </c>
    </row>
    <row r="2" spans="1:10" x14ac:dyDescent="0.25">
      <c r="A2" t="s">
        <v>114</v>
      </c>
      <c r="B2">
        <v>1</v>
      </c>
      <c r="C2">
        <f t="shared" ref="C2:C8" si="0">B2*VALUE(MID(C$1,FIND(" ", C$1)+1,LEN(C$1)))</f>
        <v>20</v>
      </c>
      <c r="E2" s="3">
        <v>60</v>
      </c>
      <c r="F2" s="3">
        <f>Table1[[#This Row],[Unit Price]]*Table1[[#This Row],[For 20]]</f>
        <v>1200</v>
      </c>
      <c r="G2" t="s">
        <v>6</v>
      </c>
      <c r="H2" t="s">
        <v>7</v>
      </c>
    </row>
    <row r="3" spans="1:10" x14ac:dyDescent="0.25">
      <c r="A3" t="s">
        <v>8</v>
      </c>
      <c r="B3">
        <v>1</v>
      </c>
      <c r="C3">
        <f t="shared" si="0"/>
        <v>20</v>
      </c>
      <c r="E3" s="3">
        <v>1.03</v>
      </c>
      <c r="F3" s="3">
        <f>Table1[[#This Row],[Unit Price]]*Table1[[#This Row],[For 20]]</f>
        <v>20.6</v>
      </c>
      <c r="G3" t="s">
        <v>6</v>
      </c>
      <c r="H3" t="s">
        <v>9</v>
      </c>
    </row>
    <row r="4" spans="1:10" x14ac:dyDescent="0.25">
      <c r="A4" t="s">
        <v>10</v>
      </c>
      <c r="B4">
        <v>1</v>
      </c>
      <c r="C4">
        <f t="shared" si="0"/>
        <v>20</v>
      </c>
      <c r="E4" s="3">
        <v>23.74</v>
      </c>
      <c r="F4" s="3">
        <f>Table1[[#This Row],[Unit Price]]*Table1[[#This Row],[For 20]]</f>
        <v>474.79999999999995</v>
      </c>
      <c r="G4" s="5" t="s">
        <v>11</v>
      </c>
      <c r="H4" t="s">
        <v>12</v>
      </c>
    </row>
    <row r="5" spans="1:10" x14ac:dyDescent="0.25">
      <c r="A5" t="s">
        <v>119</v>
      </c>
      <c r="B5">
        <v>2</v>
      </c>
      <c r="C5">
        <f t="shared" si="0"/>
        <v>40</v>
      </c>
      <c r="D5" t="s">
        <v>120</v>
      </c>
      <c r="E5" s="3">
        <v>7.2</v>
      </c>
      <c r="F5" s="3">
        <f>Table1[[#This Row],[Unit Price]]*Table1[[#This Row],[For 20]]</f>
        <v>288</v>
      </c>
      <c r="G5" t="s">
        <v>13</v>
      </c>
      <c r="H5" t="s">
        <v>118</v>
      </c>
    </row>
    <row r="6" spans="1:10" ht="30" x14ac:dyDescent="0.25">
      <c r="A6" t="s">
        <v>14</v>
      </c>
      <c r="B6">
        <v>1.5</v>
      </c>
      <c r="C6">
        <f t="shared" si="0"/>
        <v>30</v>
      </c>
      <c r="D6" s="4" t="s">
        <v>106</v>
      </c>
      <c r="E6" s="4">
        <v>0</v>
      </c>
      <c r="F6" s="10">
        <v>0</v>
      </c>
    </row>
    <row r="7" spans="1:10" ht="30" x14ac:dyDescent="0.25">
      <c r="A7" t="s">
        <v>123</v>
      </c>
      <c r="B7">
        <v>1</v>
      </c>
      <c r="C7">
        <f t="shared" si="0"/>
        <v>20</v>
      </c>
      <c r="D7" s="4"/>
      <c r="E7" s="3">
        <v>0.91</v>
      </c>
      <c r="F7" s="3">
        <f>Table1[[#This Row],[Unit Price]]*Table1[[#This Row],[For 20]]</f>
        <v>18.2</v>
      </c>
      <c r="G7" s="4" t="s">
        <v>15</v>
      </c>
      <c r="H7" t="s">
        <v>16</v>
      </c>
      <c r="I7" t="s">
        <v>122</v>
      </c>
    </row>
    <row r="8" spans="1:10" x14ac:dyDescent="0.25">
      <c r="A8" t="s">
        <v>17</v>
      </c>
      <c r="B8">
        <v>1</v>
      </c>
      <c r="C8">
        <f t="shared" si="0"/>
        <v>20</v>
      </c>
      <c r="D8" t="s">
        <v>18</v>
      </c>
      <c r="E8" s="3">
        <v>8.9</v>
      </c>
      <c r="F8" s="3">
        <f>Table1[[#This Row],[Unit Price]]*Table1[[#This Row],[For 20]]</f>
        <v>178</v>
      </c>
      <c r="G8" t="s">
        <v>19</v>
      </c>
      <c r="H8" t="s">
        <v>20</v>
      </c>
    </row>
    <row r="9" spans="1:10" x14ac:dyDescent="0.25">
      <c r="A9" t="s">
        <v>21</v>
      </c>
      <c r="B9">
        <v>8</v>
      </c>
      <c r="C9">
        <f>B9*VALUE(MID(C$1,FIND(" ", C$1)+1,LEN(C$1)))</f>
        <v>160</v>
      </c>
      <c r="D9" t="s">
        <v>22</v>
      </c>
      <c r="E9" s="3">
        <v>2.58</v>
      </c>
      <c r="F9" s="3">
        <f>Table1[[#This Row],[Unit Price]]*Table1[[#This Row],[For 20]]</f>
        <v>412.8</v>
      </c>
      <c r="G9" t="s">
        <v>19</v>
      </c>
      <c r="H9" t="s">
        <v>23</v>
      </c>
    </row>
    <row r="10" spans="1:10" x14ac:dyDescent="0.25">
      <c r="A10" t="s">
        <v>24</v>
      </c>
      <c r="B10">
        <v>4</v>
      </c>
      <c r="C10">
        <f>B10*VALUE(MID(C$1,FIND(" ", C$1)+1,LEN(C$1)))</f>
        <v>80</v>
      </c>
      <c r="D10" t="s">
        <v>22</v>
      </c>
      <c r="E10" s="3">
        <v>4.1399999999999997</v>
      </c>
      <c r="F10" s="3">
        <f>Table1[[#This Row],[Unit Price]]*Table1[[#This Row],[For 20]]</f>
        <v>331.2</v>
      </c>
      <c r="G10" t="s">
        <v>19</v>
      </c>
      <c r="H10" t="s">
        <v>25</v>
      </c>
    </row>
    <row r="11" spans="1:10" x14ac:dyDescent="0.25">
      <c r="A11" t="s">
        <v>103</v>
      </c>
      <c r="B11">
        <v>85.79</v>
      </c>
      <c r="C11">
        <f>B11*VALUE(MID(C$1,FIND(" ", C$1)+1,LEN(C$1)))</f>
        <v>1715.8000000000002</v>
      </c>
      <c r="D11" t="s">
        <v>26</v>
      </c>
      <c r="E11" s="3">
        <f>21.99*1/330</f>
        <v>6.6636363636363632E-2</v>
      </c>
      <c r="F11" s="3">
        <f>Table1[[#This Row],[Unit Price]]*Table1[[#This Row],[For 20]]</f>
        <v>114.33467272727273</v>
      </c>
    </row>
    <row r="12" spans="1:10" x14ac:dyDescent="0.25">
      <c r="A12" t="s">
        <v>27</v>
      </c>
      <c r="C12">
        <v>1</v>
      </c>
      <c r="E12" s="3">
        <v>11.48</v>
      </c>
      <c r="F12" s="3">
        <f>Table1[[#This Row],[Unit Price]]*Table1[[#This Row],[For 20]]</f>
        <v>11.48</v>
      </c>
      <c r="G12" t="s">
        <v>28</v>
      </c>
      <c r="H12" t="s">
        <v>29</v>
      </c>
    </row>
    <row r="13" spans="1:10" x14ac:dyDescent="0.25">
      <c r="A13" t="s">
        <v>112</v>
      </c>
      <c r="C13">
        <f>B13*VALUE(MID(C$1,FIND(" ", C$1)+1,LEN(C$1)))</f>
        <v>0</v>
      </c>
      <c r="D13" t="s">
        <v>113</v>
      </c>
      <c r="E13" s="3"/>
      <c r="F13" s="3">
        <f>'Computer Parts'!F11</f>
        <v>1879.52</v>
      </c>
    </row>
    <row r="14" spans="1:10" x14ac:dyDescent="0.25">
      <c r="E14" s="3"/>
      <c r="F14" s="3">
        <f>SUM(Table1[Cost Per Group])/20</f>
        <v>246.44673363636366</v>
      </c>
    </row>
    <row r="15" spans="1:10" x14ac:dyDescent="0.25">
      <c r="J15" t="s">
        <v>30</v>
      </c>
    </row>
    <row r="16" spans="1:10" x14ac:dyDescent="0.25">
      <c r="J16" s="3">
        <f>SUM(E2:E13)</f>
        <v>120.04663636363637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EFB78-8FE3-4CA7-B11E-877FE66B7EBC}">
  <dimension ref="A1:D14"/>
  <sheetViews>
    <sheetView zoomScale="130" zoomScaleNormal="130" workbookViewId="0">
      <selection activeCell="D14" sqref="D14"/>
    </sheetView>
  </sheetViews>
  <sheetFormatPr defaultRowHeight="15" x14ac:dyDescent="0.25"/>
  <cols>
    <col min="1" max="1" width="22.85546875" bestFit="1" customWidth="1"/>
    <col min="2" max="2" width="18.42578125" bestFit="1" customWidth="1"/>
    <col min="3" max="3" width="26.85546875" customWidth="1"/>
    <col min="4" max="4" width="35" customWidth="1"/>
  </cols>
  <sheetData>
    <row r="1" spans="1:4" x14ac:dyDescent="0.25">
      <c r="A1" s="1" t="s">
        <v>31</v>
      </c>
      <c r="B1" s="1" t="s">
        <v>32</v>
      </c>
      <c r="C1" s="1" t="s">
        <v>33</v>
      </c>
      <c r="D1" s="1" t="s">
        <v>34</v>
      </c>
    </row>
    <row r="2" spans="1:4" x14ac:dyDescent="0.25">
      <c r="A2" s="8" t="s">
        <v>35</v>
      </c>
      <c r="B2" s="8">
        <v>1</v>
      </c>
      <c r="C2" s="8">
        <v>338</v>
      </c>
      <c r="D2" s="8">
        <v>38.54</v>
      </c>
    </row>
    <row r="3" spans="1:4" x14ac:dyDescent="0.25">
      <c r="A3" s="9"/>
      <c r="B3" s="9">
        <v>1</v>
      </c>
      <c r="C3" s="9"/>
      <c r="D3" s="9"/>
    </row>
    <row r="4" spans="1:4" x14ac:dyDescent="0.25">
      <c r="A4" s="8" t="s">
        <v>36</v>
      </c>
      <c r="B4" s="8">
        <v>1</v>
      </c>
      <c r="C4" s="8">
        <v>90</v>
      </c>
      <c r="D4" s="8">
        <v>9.0399999999999991</v>
      </c>
    </row>
    <row r="5" spans="1:4" x14ac:dyDescent="0.25">
      <c r="A5" s="9" t="s">
        <v>37</v>
      </c>
      <c r="B5" s="9">
        <v>1</v>
      </c>
      <c r="C5" s="9">
        <v>41</v>
      </c>
      <c r="D5" s="9">
        <v>4.0599999999999996</v>
      </c>
    </row>
    <row r="6" spans="1:4" x14ac:dyDescent="0.25">
      <c r="A6" s="8" t="s">
        <v>38</v>
      </c>
      <c r="B6" s="8">
        <v>1</v>
      </c>
      <c r="C6" s="8">
        <v>171</v>
      </c>
      <c r="D6" s="8">
        <v>17.25</v>
      </c>
    </row>
    <row r="7" spans="1:4" x14ac:dyDescent="0.25">
      <c r="A7" s="9"/>
      <c r="B7" s="9"/>
      <c r="C7" s="9"/>
      <c r="D7" s="9"/>
    </row>
    <row r="8" spans="1:4" x14ac:dyDescent="0.25">
      <c r="A8" s="8" t="s">
        <v>39</v>
      </c>
      <c r="B8" s="8">
        <v>2</v>
      </c>
      <c r="C8" s="8">
        <v>4</v>
      </c>
      <c r="D8" s="8">
        <v>0.1</v>
      </c>
    </row>
    <row r="9" spans="1:4" x14ac:dyDescent="0.25">
      <c r="A9" s="9" t="s">
        <v>40</v>
      </c>
      <c r="B9" s="9">
        <v>4</v>
      </c>
      <c r="C9" s="9">
        <v>8</v>
      </c>
      <c r="D9" s="9">
        <v>0.24</v>
      </c>
    </row>
    <row r="10" spans="1:4" x14ac:dyDescent="0.25">
      <c r="A10" s="8" t="s">
        <v>41</v>
      </c>
      <c r="B10" s="8">
        <v>1</v>
      </c>
      <c r="C10" s="8">
        <v>76</v>
      </c>
      <c r="D10" s="8">
        <v>6.19</v>
      </c>
    </row>
    <row r="11" spans="1:4" x14ac:dyDescent="0.25">
      <c r="A11" s="9" t="s">
        <v>42</v>
      </c>
      <c r="B11" s="9">
        <v>1</v>
      </c>
      <c r="C11" s="9">
        <v>68</v>
      </c>
      <c r="D11" s="9">
        <v>6.11</v>
      </c>
    </row>
    <row r="12" spans="1:4" x14ac:dyDescent="0.25">
      <c r="A12" s="8" t="s">
        <v>43</v>
      </c>
      <c r="B12" s="8">
        <v>1</v>
      </c>
      <c r="C12" s="8">
        <v>43</v>
      </c>
      <c r="D12" s="8">
        <v>4.26</v>
      </c>
    </row>
    <row r="14" spans="1:4" x14ac:dyDescent="0.25">
      <c r="A14" s="2" t="s">
        <v>44</v>
      </c>
      <c r="B14" s="2"/>
      <c r="C14" s="2">
        <f>SUM(C2:C12)</f>
        <v>839</v>
      </c>
      <c r="D14" s="2">
        <f>SUM(D2:D12)</f>
        <v>85.789999999999992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7807B-2227-45FB-830E-87F882ACDC51}">
  <dimension ref="A1:I11"/>
  <sheetViews>
    <sheetView zoomScale="160" zoomScaleNormal="160" workbookViewId="0">
      <selection activeCell="F11" sqref="F11"/>
    </sheetView>
  </sheetViews>
  <sheetFormatPr defaultRowHeight="15" x14ac:dyDescent="0.25"/>
  <cols>
    <col min="1" max="1" width="83.85546875" customWidth="1"/>
    <col min="6" max="6" width="10" bestFit="1" customWidth="1"/>
  </cols>
  <sheetData>
    <row r="1" spans="1:9" x14ac:dyDescent="0.25">
      <c r="A1" s="6" t="s">
        <v>45</v>
      </c>
      <c r="B1" s="6" t="s">
        <v>46</v>
      </c>
      <c r="C1" s="6" t="s">
        <v>47</v>
      </c>
      <c r="D1" s="6" t="s">
        <v>48</v>
      </c>
      <c r="E1" s="6" t="s">
        <v>3</v>
      </c>
      <c r="F1" s="6" t="s">
        <v>49</v>
      </c>
      <c r="G1" s="6" t="s">
        <v>4</v>
      </c>
      <c r="H1" s="6" t="s">
        <v>50</v>
      </c>
      <c r="I1" s="6" t="s">
        <v>5</v>
      </c>
    </row>
    <row r="2" spans="1:9" x14ac:dyDescent="0.25">
      <c r="A2" t="s">
        <v>51</v>
      </c>
      <c r="B2" t="s">
        <v>52</v>
      </c>
      <c r="C2" t="s">
        <v>53</v>
      </c>
      <c r="D2">
        <v>1</v>
      </c>
      <c r="E2">
        <v>122.9</v>
      </c>
      <c r="F2" s="3">
        <f>D2*E2</f>
        <v>122.9</v>
      </c>
      <c r="G2" t="s">
        <v>54</v>
      </c>
      <c r="H2" t="s">
        <v>55</v>
      </c>
      <c r="I2" s="7" t="s">
        <v>56</v>
      </c>
    </row>
    <row r="3" spans="1:9" x14ac:dyDescent="0.25">
      <c r="A3" t="s">
        <v>57</v>
      </c>
      <c r="B3" t="s">
        <v>52</v>
      </c>
      <c r="C3" t="s">
        <v>58</v>
      </c>
      <c r="D3">
        <v>1</v>
      </c>
      <c r="E3">
        <v>199.99</v>
      </c>
      <c r="F3" s="3">
        <f t="shared" ref="F3:F10" si="0">D3*E3</f>
        <v>199.99</v>
      </c>
      <c r="G3" t="s">
        <v>59</v>
      </c>
      <c r="H3" t="s">
        <v>60</v>
      </c>
      <c r="I3" s="7" t="s">
        <v>61</v>
      </c>
    </row>
    <row r="4" spans="1:9" x14ac:dyDescent="0.25">
      <c r="A4" t="s">
        <v>62</v>
      </c>
      <c r="B4" t="s">
        <v>52</v>
      </c>
      <c r="C4" t="s">
        <v>63</v>
      </c>
      <c r="D4">
        <v>1</v>
      </c>
      <c r="E4">
        <v>139.99</v>
      </c>
      <c r="F4" s="3">
        <f t="shared" si="0"/>
        <v>139.99</v>
      </c>
      <c r="G4" t="s">
        <v>64</v>
      </c>
      <c r="H4" t="s">
        <v>65</v>
      </c>
      <c r="I4" s="7" t="s">
        <v>66</v>
      </c>
    </row>
    <row r="5" spans="1:9" x14ac:dyDescent="0.25">
      <c r="A5" t="s">
        <v>67</v>
      </c>
      <c r="B5" t="s">
        <v>52</v>
      </c>
      <c r="C5" t="s">
        <v>68</v>
      </c>
      <c r="D5">
        <v>1</v>
      </c>
      <c r="E5">
        <v>536.91</v>
      </c>
      <c r="F5" s="3">
        <f t="shared" si="0"/>
        <v>536.91</v>
      </c>
      <c r="I5" s="7" t="s">
        <v>69</v>
      </c>
    </row>
    <row r="6" spans="1:9" x14ac:dyDescent="0.25">
      <c r="A6" t="s">
        <v>107</v>
      </c>
      <c r="B6" t="s">
        <v>52</v>
      </c>
      <c r="C6" t="s">
        <v>108</v>
      </c>
      <c r="D6">
        <v>1</v>
      </c>
      <c r="E6">
        <v>36.590000000000003</v>
      </c>
      <c r="F6" s="3">
        <f t="shared" si="0"/>
        <v>36.590000000000003</v>
      </c>
      <c r="G6" t="s">
        <v>109</v>
      </c>
      <c r="H6" t="s">
        <v>110</v>
      </c>
      <c r="I6" s="11" t="s">
        <v>111</v>
      </c>
    </row>
    <row r="7" spans="1:9" x14ac:dyDescent="0.25">
      <c r="A7" t="s">
        <v>70</v>
      </c>
      <c r="B7" t="s">
        <v>52</v>
      </c>
      <c r="C7" t="s">
        <v>71</v>
      </c>
      <c r="D7">
        <v>1</v>
      </c>
      <c r="E7">
        <v>92.99</v>
      </c>
      <c r="F7" s="3">
        <f t="shared" si="0"/>
        <v>92.99</v>
      </c>
      <c r="I7" s="7" t="s">
        <v>72</v>
      </c>
    </row>
    <row r="8" spans="1:9" x14ac:dyDescent="0.25">
      <c r="A8" t="s">
        <v>73</v>
      </c>
      <c r="B8" t="s">
        <v>74</v>
      </c>
      <c r="C8">
        <v>7134252</v>
      </c>
      <c r="D8">
        <v>1</v>
      </c>
      <c r="E8">
        <v>372.16</v>
      </c>
      <c r="F8" s="3">
        <f t="shared" si="0"/>
        <v>372.16</v>
      </c>
      <c r="G8" t="s">
        <v>75</v>
      </c>
      <c r="H8" t="s">
        <v>76</v>
      </c>
      <c r="I8" s="7" t="s">
        <v>77</v>
      </c>
    </row>
    <row r="9" spans="1:9" x14ac:dyDescent="0.25">
      <c r="A9" t="s">
        <v>78</v>
      </c>
      <c r="B9" t="s">
        <v>52</v>
      </c>
      <c r="C9" t="s">
        <v>79</v>
      </c>
      <c r="D9">
        <v>1</v>
      </c>
      <c r="E9">
        <v>8.99</v>
      </c>
      <c r="F9" s="3">
        <f t="shared" si="0"/>
        <v>8.99</v>
      </c>
      <c r="I9" s="7" t="s">
        <v>80</v>
      </c>
    </row>
    <row r="10" spans="1:9" x14ac:dyDescent="0.25">
      <c r="A10" t="s">
        <v>81</v>
      </c>
      <c r="B10" t="s">
        <v>74</v>
      </c>
      <c r="C10">
        <v>3255376</v>
      </c>
      <c r="D10">
        <v>4</v>
      </c>
      <c r="E10">
        <v>92.25</v>
      </c>
      <c r="F10" s="3">
        <f t="shared" si="0"/>
        <v>369</v>
      </c>
      <c r="G10" t="s">
        <v>82</v>
      </c>
      <c r="H10" t="s">
        <v>83</v>
      </c>
      <c r="I10" s="7" t="s">
        <v>84</v>
      </c>
    </row>
    <row r="11" spans="1:9" x14ac:dyDescent="0.25">
      <c r="F11" s="3">
        <f>SUM(F2:F10)</f>
        <v>1879.52</v>
      </c>
    </row>
  </sheetData>
  <hyperlinks>
    <hyperlink ref="I2" r:id="rId1" xr:uid="{0DCDD27E-16EE-42D3-8C58-4C2FBA173532}"/>
    <hyperlink ref="I3" r:id="rId2" xr:uid="{40E4F986-41AA-4065-BAD5-8C93DD9580B1}"/>
    <hyperlink ref="I4" r:id="rId3" xr:uid="{C534B6F9-6571-4429-A41B-F8B6F07A474D}"/>
    <hyperlink ref="I5" r:id="rId4" xr:uid="{508AA4FF-A742-4FCC-84DD-4EED7EFBE149}"/>
    <hyperlink ref="I7" r:id="rId5" display="https://www.amazon.com/CORSAIR-VENGEANCE-4800MHz-Compatible-Computer/dp/B09MTS5YH1/ref=sr_1_1?crid=2G1REI024FAW6&amp;dib=eyJ2IjoiMSJ9.zb-cTMfe41bDyqVPoJ1GLnuL74_Lntijmu7eKfqjE6bgDqoCuwKfM7UPSz5DIVsheEKYmZwtdS_Hzhn5kb2YTBbt-L9ez8IKh3LQoXcaUIqTTpsKz167ttg5DtLTy2CTOBe2sv-u-Wbf373K8rxX4CHtWMSPk2KlDduR0XxkWSdpK-lp1vl9ZdnbvXD-FOzd-d4rHYEy_Su3baRXgUQw4_y29vEr7BaFNYdRdq92Hbo.GfX9v9l_SG0j04dKsnGoKQhOsBl06VIBGVM175tjufA&amp;dib_tag=se&amp;keywords=Corsair+Vengeance+32+GB+%282+x+16+GB%29+DDR5-4800+CL40+Memory&amp;qid=1705360391&amp;s=electronics&amp;sprefix=corsair+vengeance+32+gb+2+x+16+gb+ddr5-4800+cl40+memory%2Celectronics%2C108&amp;sr=1-1" xr:uid="{3318E2F8-8511-4B81-B010-4C9A4D0C1329}"/>
    <hyperlink ref="I8" r:id="rId6" xr:uid="{B64E217E-DECA-4F82-B6C5-E3054F784CF5}"/>
    <hyperlink ref="I9" r:id="rId7" xr:uid="{CC24BB3E-FB23-43CF-878B-7E1FE6E82D18}"/>
    <hyperlink ref="I10" r:id="rId8" xr:uid="{36E0F823-2928-43C5-B58C-298C3EDD110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43C74-B507-4118-B491-C50D35EB433D}">
  <dimension ref="A1:C11"/>
  <sheetViews>
    <sheetView workbookViewId="0">
      <selection activeCell="A55" sqref="A55"/>
    </sheetView>
  </sheetViews>
  <sheetFormatPr defaultRowHeight="15" customHeight="1" x14ac:dyDescent="0.25"/>
  <cols>
    <col min="1" max="1" width="47.5703125" style="13" customWidth="1"/>
    <col min="2" max="2" width="46.85546875" style="13" customWidth="1"/>
    <col min="3" max="3" width="18.5703125" style="13" bestFit="1" customWidth="1"/>
    <col min="4" max="16384" width="9.140625" style="13"/>
  </cols>
  <sheetData>
    <row r="1" spans="1:3" x14ac:dyDescent="0.25">
      <c r="A1" s="12" t="s">
        <v>0</v>
      </c>
      <c r="B1" s="12" t="s">
        <v>85</v>
      </c>
      <c r="C1" s="12" t="s">
        <v>4</v>
      </c>
    </row>
    <row r="2" spans="1:3" x14ac:dyDescent="0.25">
      <c r="A2" s="14" t="s">
        <v>86</v>
      </c>
      <c r="B2" s="14"/>
      <c r="C2" s="14" t="s">
        <v>87</v>
      </c>
    </row>
    <row r="3" spans="1:3" x14ac:dyDescent="0.25">
      <c r="A3" s="14" t="s">
        <v>102</v>
      </c>
      <c r="B3" s="14"/>
      <c r="C3" s="14" t="s">
        <v>87</v>
      </c>
    </row>
    <row r="4" spans="1:3" x14ac:dyDescent="0.25">
      <c r="A4" s="14" t="s">
        <v>115</v>
      </c>
      <c r="B4" s="14" t="s">
        <v>88</v>
      </c>
      <c r="C4" s="14" t="s">
        <v>87</v>
      </c>
    </row>
    <row r="5" spans="1:3" x14ac:dyDescent="0.25">
      <c r="A5" s="14" t="s">
        <v>94</v>
      </c>
      <c r="B5" s="14" t="s">
        <v>95</v>
      </c>
      <c r="C5" s="14" t="s">
        <v>96</v>
      </c>
    </row>
    <row r="6" spans="1:3" x14ac:dyDescent="0.25">
      <c r="A6" s="14" t="s">
        <v>89</v>
      </c>
      <c r="B6" s="14" t="s">
        <v>117</v>
      </c>
      <c r="C6" s="14" t="s">
        <v>90</v>
      </c>
    </row>
    <row r="7" spans="1:3" x14ac:dyDescent="0.25">
      <c r="A7" s="14" t="s">
        <v>91</v>
      </c>
      <c r="B7" s="14" t="s">
        <v>92</v>
      </c>
      <c r="C7" s="14" t="s">
        <v>93</v>
      </c>
    </row>
    <row r="8" spans="1:3" x14ac:dyDescent="0.25">
      <c r="A8" s="14"/>
      <c r="B8" s="14"/>
      <c r="C8" s="14"/>
    </row>
    <row r="9" spans="1:3" ht="15" customHeight="1" x14ac:dyDescent="0.25">
      <c r="A9" s="15" t="s">
        <v>116</v>
      </c>
      <c r="B9" s="16" t="s">
        <v>85</v>
      </c>
      <c r="C9" s="17" t="s">
        <v>4</v>
      </c>
    </row>
    <row r="10" spans="1:3" ht="15" customHeight="1" x14ac:dyDescent="0.25">
      <c r="A10" s="14" t="s">
        <v>97</v>
      </c>
      <c r="B10" s="14" t="s">
        <v>98</v>
      </c>
      <c r="C10" s="14" t="s">
        <v>99</v>
      </c>
    </row>
    <row r="11" spans="1:3" ht="15" customHeight="1" x14ac:dyDescent="0.25">
      <c r="A11" s="14" t="s">
        <v>100</v>
      </c>
      <c r="B11" s="14" t="s">
        <v>101</v>
      </c>
      <c r="C11" s="14" t="s">
        <v>99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1848B12E4C124DA7651BA2FCAB9127" ma:contentTypeVersion="15" ma:contentTypeDescription="Create a new document." ma:contentTypeScope="" ma:versionID="72b12e43bb1acfa2b91b2b5f63001be8">
  <xsd:schema xmlns:xsd="http://www.w3.org/2001/XMLSchema" xmlns:xs="http://www.w3.org/2001/XMLSchema" xmlns:p="http://schemas.microsoft.com/office/2006/metadata/properties" xmlns:ns2="521bbcd2-40d8-4f6b-a417-c578239ab50b" xmlns:ns3="edccf34c-83e3-472c-a241-a323300f1274" targetNamespace="http://schemas.microsoft.com/office/2006/metadata/properties" ma:root="true" ma:fieldsID="d46bc8f97ad8b546e8ca359743f7bb54" ns2:_="" ns3:_="">
    <xsd:import namespace="521bbcd2-40d8-4f6b-a417-c578239ab50b"/>
    <xsd:import namespace="edccf34c-83e3-472c-a241-a323300f12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1bbcd2-40d8-4f6b-a417-c578239ab5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cf34c-83e3-472c-a241-a323300f127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6ca7d50-3419-428f-8bac-5e01c9d79d59}" ma:internalName="TaxCatchAll" ma:showField="CatchAllData" ma:web="edccf34c-83e3-472c-a241-a323300f12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521bbcd2-40d8-4f6b-a417-c578239ab50b" xsi:nil="true"/>
    <SharedWithUsers xmlns="edccf34c-83e3-472c-a241-a323300f1274">
      <UserInfo>
        <DisplayName>Tushya Mehta</DisplayName>
        <AccountId>21</AccountId>
        <AccountType/>
      </UserInfo>
    </SharedWithUsers>
    <lcf76f155ced4ddcb4097134ff3c332f xmlns="521bbcd2-40d8-4f6b-a417-c578239ab50b">
      <Terms xmlns="http://schemas.microsoft.com/office/infopath/2007/PartnerControls"/>
    </lcf76f155ced4ddcb4097134ff3c332f>
    <TaxCatchAll xmlns="edccf34c-83e3-472c-a241-a323300f1274" xsi:nil="true"/>
  </documentManagement>
</p:properties>
</file>

<file path=customXml/itemProps1.xml><?xml version="1.0" encoding="utf-8"?>
<ds:datastoreItem xmlns:ds="http://schemas.openxmlformats.org/officeDocument/2006/customXml" ds:itemID="{AC6B4524-65A7-40EC-95AC-E173A511FC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71305E-E8AD-4DAB-B87B-FD8F621A57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1bbcd2-40d8-4f6b-a417-c578239ab50b"/>
    <ds:schemaRef ds:uri="edccf34c-83e3-472c-a241-a323300f12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4865581-684E-4BEB-AC9E-150C6BA81FBC}">
  <ds:schemaRefs>
    <ds:schemaRef ds:uri="http://schemas.microsoft.com/office/2006/metadata/properties"/>
    <ds:schemaRef ds:uri="http://schemas.microsoft.com/office/infopath/2007/PartnerControls"/>
    <ds:schemaRef ds:uri="521bbcd2-40d8-4f6b-a417-c578239ab50b"/>
    <ds:schemaRef ds:uri="edccf34c-83e3-472c-a241-a323300f127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Camera Parts</vt:lpstr>
      <vt:lpstr>3dPrinted Parts</vt:lpstr>
      <vt:lpstr>Computer Parts</vt:lpstr>
      <vt:lpstr>Animal Facility Parts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Eyal Kimchi</dc:creator>
  <cp:keywords/>
  <dc:description/>
  <cp:lastModifiedBy>Eyal Y Kimchi</cp:lastModifiedBy>
  <cp:revision/>
  <dcterms:created xsi:type="dcterms:W3CDTF">2015-06-05T18:17:20Z</dcterms:created>
  <dcterms:modified xsi:type="dcterms:W3CDTF">2025-05-16T14:55:19Z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0x010100651848B12E4C124DA7651BA2FCAB9127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_activity">
    <vt:lpwstr>{"FileActivityType":"9","FileActivityTimeStamp":"2024-02-10T09:55:51.037Z","FileActivityUsersOnPage":[{"DisplayName":"Nicholas Enrique Angulo","Id":"nea1966@ads.northwestern.edu"},{"DisplayName":"Tushya Mehta","Id":"fpn6121@ads.northwestern.edu"}],"FileActivityNavigationId":null}</vt:lpwstr>
  </property>
  <property fmtid="{D5CDD505-2E9C-101B-9397-08002B2CF9AE}" pid="9" name="TriggerFlowInfo">
    <vt:lpwstr/>
  </property>
</Properties>
</file>